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Overview" sheetId="1" state="visible" r:id="rId3"/>
    <sheet name="Risk Methodology" sheetId="2" state="visible" r:id="rId4"/>
    <sheet name="Vendor Inventory" sheetId="3" state="visible" r:id="rId5"/>
    <sheet name="Risk Scoring Matrix" sheetId="4" state="visible" r:id="rId6"/>
    <sheet name="Vendor Risk Register" sheetId="5" state="visible" r:id="rId7"/>
    <sheet name="Risk Treatment Plan" sheetId="6" state="visible" r:id="rId8"/>
    <sheet name="Executive Summar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<sst xmlns="http://schemas.openxmlformats.org/spreadsheetml/2006/main" count="213" uniqueCount="170">
  <si>
    <t xml:space="preserve">Meridian Retail Group: Third-Party Vendor Risk Assessment</t>
  </si>
  <si>
    <t xml:space="preserve">Governance, Risk &amp; Compliance (GRC) Portfolio Simulation</t>
  </si>
  <si>
    <t xml:space="preserve">Overview</t>
  </si>
  <si>
    <t xml:space="preserve">This project is a fictional third-party vendor risk assessment developed to demonstrate practical experience in vendor security evaluation, risk scoring, and executive risk reporting. Meridian Retail Group, a mid-size e-commerce retailer, engaged six vendors across payments, cloud hosting, AI customer support, marketing analytics, payroll, and logistics. This assessment evaluates each vendor's security posture, data access, and control maturity to identify and prioritize third-party risk.</t>
  </si>
  <si>
    <t xml:space="preserve">My Role</t>
  </si>
  <si>
    <t xml:space="preserve">As GRC Analyst (Portfolio Simulation), performed vendor risk assessments, evaluated security questionnaire responses, scored risk using a likelihood x impact model, documented control gaps, and prepared executive-level recommendations.</t>
  </si>
  <si>
    <t xml:space="preserve">Frameworks &amp; Standards</t>
  </si>
  <si>
    <t xml:space="preserve">NIST SP 800-161 (Cyber Supply Chain Risk Management) | ISO/IEC 27001:2022 Annex A.15 (Supplier Relationships) | NIST CSF 2.0 (ID.SC, Supply Chain Risk Management) | SOC 2 (vendor/subservice organization review)</t>
  </si>
  <si>
    <t xml:space="preserve">Scope</t>
  </si>
  <si>
    <t xml:space="preserve">Six active third-party vendors with access to Meridian Retail Group systems or data: payment processing, cloud infrastructure hosting, AI-powered customer support, marketing analytics/CRM, payroll processing, and logistics/shipping.</t>
  </si>
  <si>
    <t xml:space="preserve">Portfolio Disclaimer</t>
  </si>
  <si>
    <t xml:space="preserve">This project is a fictional portfolio simulation created for educational and professional demonstration purposes. No real organization, customer data, or confidential business information was used. The assessment is based on publicly available industry frameworks and best practices.</t>
  </si>
  <si>
    <t xml:space="preserve">Vendor Risk Assessment Methodology</t>
  </si>
  <si>
    <t xml:space="preserve">Approach</t>
  </si>
  <si>
    <t xml:space="preserve">Each vendor is evaluated on the sensitivity of data it can access, its level of system access, and evidence of its security controls (SOC 2 reports, security questionnaires, certifications). Risk is scored using a Likelihood x Impact model, consistent with NIST SP 800-30 risk assessment guidance, and calculated at two points: before and after existing vendor controls are factored in.</t>
  </si>
  <si>
    <t xml:space="preserve">Inherent vs. Residual Risk</t>
  </si>
  <si>
    <t xml:space="preserve">Inherent Risk reflects the raw exposure of a vendor relationship before any controls are considered (worst-case, given the data and access involved). Residual Risk reflects risk after the vendor's existing, verified controls (e.g., a current SOC 2 report, MFA enforcement, encryption) are factored in. The gap between inherent and residual risk shows how much a vendor's controls are actually reducing exposure. A vendor with strong controls should show a large drop, while a vendor with unverified or absent controls should show little to no drop, as seen with QuickShip Logistics in this assessment.</t>
  </si>
  <si>
    <t xml:space="preserve">Likelihood Scale (1-5)</t>
  </si>
  <si>
    <t xml:space="preserve">1 = Rare (strong, verified controls in place) | 2 = Unlikely | 3 = Possible (some gaps or unverified controls) | 4 = Likely (known gaps, weak evidence of controls) | 5 = Almost Certain (no security assessment on file, or known active gap)</t>
  </si>
  <si>
    <t xml:space="preserve">Impact Scale (1-5)</t>
  </si>
  <si>
    <t xml:space="preserve">1 = Negligible (no sensitive data access) | 2 = Minor | 3 = Moderate (internal data) | 4 = Major (confidential customer data) | 5 = Severe (regulated data: payment card, SSN, health information, or admin-level system access)</t>
  </si>
  <si>
    <t xml:space="preserve">Risk Tiering</t>
  </si>
  <si>
    <t xml:space="preserve">Risk Score = Likelihood x Impact (range 1-25). Critical: 15-25 | High: 9-14 | Medium: 4-8 | Low: 1-3. Residual risk tier drives prioritization and reporting; Critical and High residual findings require a documented treatment plan with an assigned owner and target date.</t>
  </si>
  <si>
    <t xml:space="preserve">Vendor ID</t>
  </si>
  <si>
    <t xml:space="preserve">Vendor Name</t>
  </si>
  <si>
    <t xml:space="preserve">Service Category</t>
  </si>
  <si>
    <t xml:space="preserve">Service Description</t>
  </si>
  <si>
    <t xml:space="preserve">Data Accessed</t>
  </si>
  <si>
    <t xml:space="preserve">Data Sensitivity</t>
  </si>
  <si>
    <t xml:space="preserve">System Access Level</t>
  </si>
  <si>
    <t xml:space="preserve">Contract Start</t>
  </si>
  <si>
    <t xml:space="preserve">V-01</t>
  </si>
  <si>
    <t xml:space="preserve">PaySecure Processing</t>
  </si>
  <si>
    <t xml:space="preserve">Payment Processing</t>
  </si>
  <si>
    <t xml:space="preserve">Processes online card transactions and stores tokenized payment data</t>
  </si>
  <si>
    <t xml:space="preserve">Cardholder data (tokenized), transaction history</t>
  </si>
  <si>
    <t xml:space="preserve">Restricted</t>
  </si>
  <si>
    <t xml:space="preserve">Admin (API)</t>
  </si>
  <si>
    <t xml:space="preserve">2023-02-01</t>
  </si>
  <si>
    <t xml:space="preserve">V-02</t>
  </si>
  <si>
    <t xml:space="preserve">CloudNova Hosting</t>
  </si>
  <si>
    <t xml:space="preserve">Cloud Infrastructure</t>
  </si>
  <si>
    <t xml:space="preserve">Hosts production e-commerce application and databases</t>
  </si>
  <si>
    <t xml:space="preserve">All production data (infrastructure-level access)</t>
  </si>
  <si>
    <t xml:space="preserve">Confidential</t>
  </si>
  <si>
    <t xml:space="preserve">Admin (Infrastructure)</t>
  </si>
  <si>
    <t xml:space="preserve">2022-06-15</t>
  </si>
  <si>
    <t xml:space="preserve">V-03</t>
  </si>
  <si>
    <t xml:space="preserve">ChatAssist AI</t>
  </si>
  <si>
    <t xml:space="preserve">AI Customer Support</t>
  </si>
  <si>
    <t xml:space="preserve">Provides AI-powered chatbot for customer service inquiries</t>
  </si>
  <si>
    <t xml:space="preserve">Customer names, order history, chat transcripts</t>
  </si>
  <si>
    <t xml:space="preserve">Read-Write (API)</t>
  </si>
  <si>
    <t xml:space="preserve">2025-01-10</t>
  </si>
  <si>
    <t xml:space="preserve">V-04</t>
  </si>
  <si>
    <t xml:space="preserve">InsightCRM Analytics</t>
  </si>
  <si>
    <t xml:space="preserve">Marketing Analytics / CRM</t>
  </si>
  <si>
    <t xml:space="preserve">Provides customer segmentation and marketing analytics platform</t>
  </si>
  <si>
    <t xml:space="preserve">Customer PII, purchase history, browsing behavior</t>
  </si>
  <si>
    <t xml:space="preserve">2023-09-01</t>
  </si>
  <si>
    <t xml:space="preserve">V-05</t>
  </si>
  <si>
    <t xml:space="preserve">PeopleFirst Payroll</t>
  </si>
  <si>
    <t xml:space="preserve">HR / Payroll</t>
  </si>
  <si>
    <t xml:space="preserve">Processes employee payroll and benefits administration</t>
  </si>
  <si>
    <t xml:space="preserve">Employee SSNs, bank account details, salary data</t>
  </si>
  <si>
    <t xml:space="preserve">Admin (Portal)</t>
  </si>
  <si>
    <t xml:space="preserve">2021-11-01</t>
  </si>
  <si>
    <t xml:space="preserve">V-06</t>
  </si>
  <si>
    <t xml:space="preserve">QuickShip Logistics</t>
  </si>
  <si>
    <t xml:space="preserve">Shipping / Fulfillment</t>
  </si>
  <si>
    <t xml:space="preserve">Provides shipping label generation and delivery tracking</t>
  </si>
  <si>
    <t xml:space="preserve">Customer shipping addresses only</t>
  </si>
  <si>
    <t xml:space="preserve">Internal</t>
  </si>
  <si>
    <t xml:space="preserve">Read-Only (API)</t>
  </si>
  <si>
    <t xml:space="preserve">2024-04-20</t>
  </si>
  <si>
    <t xml:space="preserve">Likelihood x Impact Risk Matrix</t>
  </si>
  <si>
    <t xml:space="preserve">Impact -&gt;</t>
  </si>
  <si>
    <t xml:space="preserve">1 - Negligible</t>
  </si>
  <si>
    <t xml:space="preserve">2 - Minor</t>
  </si>
  <si>
    <t xml:space="preserve">3 - Moderate</t>
  </si>
  <si>
    <t xml:space="preserve">4 - Major</t>
  </si>
  <si>
    <t xml:space="preserve">5 - Severe</t>
  </si>
  <si>
    <t xml:space="preserve">1 - Rare</t>
  </si>
  <si>
    <t xml:space="preserve">2 - Unlikely</t>
  </si>
  <si>
    <t xml:space="preserve">3 - Possible</t>
  </si>
  <si>
    <t xml:space="preserve">4 - Likely</t>
  </si>
  <si>
    <t xml:space="preserve">5 - Almost Certain</t>
  </si>
  <si>
    <t xml:space="preserve">Legend:</t>
  </si>
  <si>
    <t xml:space="preserve">Critical (15-25)</t>
  </si>
  <si>
    <t xml:space="preserve">High (9-14)</t>
  </si>
  <si>
    <t xml:space="preserve">Medium (4-8)</t>
  </si>
  <si>
    <t xml:space="preserve">Low (1-3)</t>
  </si>
  <si>
    <t xml:space="preserve">Key Finding</t>
  </si>
  <si>
    <t xml:space="preserve">Existing Controls</t>
  </si>
  <si>
    <t xml:space="preserve">Control Gap</t>
  </si>
  <si>
    <t xml:space="preserve">Framework Reference</t>
  </si>
  <si>
    <t xml:space="preserve">Inh. Likelihood</t>
  </si>
  <si>
    <t xml:space="preserve">Inh. Impact</t>
  </si>
  <si>
    <t xml:space="preserve">Inherent Score</t>
  </si>
  <si>
    <t xml:space="preserve">Inherent Tier</t>
  </si>
  <si>
    <t xml:space="preserve">Res. Likelihood</t>
  </si>
  <si>
    <t xml:space="preserve">Res. Impact</t>
  </si>
  <si>
    <t xml:space="preserve">Residual Score</t>
  </si>
  <si>
    <t xml:space="preserve">Residual Tier</t>
  </si>
  <si>
    <t xml:space="preserve">Status</t>
  </si>
  <si>
    <t xml:space="preserve">No current SOC 2 Type II report on file; last report expired 14 months ago</t>
  </si>
  <si>
    <t xml:space="preserve">PCI DSS-scoped network segmentation; TLS 1.2 encryption in transit for transaction data</t>
  </si>
  <si>
    <t xml:space="preserve">Shared API keys used across staging and production environments; MFA not enforced for vendor portal access</t>
  </si>
  <si>
    <t xml:space="preserve">ISO 27001 A.15.2 / SOC 2 CC9.2</t>
  </si>
  <si>
    <t xml:space="preserve">Open</t>
  </si>
  <si>
    <t xml:space="preserve">Current SOC 2 Type II report provided and reviewed</t>
  </si>
  <si>
    <t xml:space="preserve">Current SOC 2 Type II report; encrypted storage; documented incident response process</t>
  </si>
  <si>
    <t xml:space="preserve">Vendor subcontracts physical data center management to an unassessed fourth party (fourth-party risk not yet evaluated)</t>
  </si>
  <si>
    <t xml:space="preserve">NIST SP 800-161 / ISO 27001 A.15.1</t>
  </si>
  <si>
    <t xml:space="preserve">Monitoring</t>
  </si>
  <si>
    <t xml:space="preserve">Chat transcripts containing customer PII are retained indefinitely</t>
  </si>
  <si>
    <t xml:space="preserve">API access scoped to read-write only; contractual confidentiality clause in vendor agreement</t>
  </si>
  <si>
    <t xml:space="preserve">No documented data retention or deletion policy; unclear whether transcripts are used for model training</t>
  </si>
  <si>
    <t xml:space="preserve">NIST CSF ID.SC-4 / ISO 27001 A.18.1</t>
  </si>
  <si>
    <t xml:space="preserve">Production customer data used in non-production/test environments</t>
  </si>
  <si>
    <t xml:space="preserve">Role-based access control restricts internal analyst access to raw CRM data</t>
  </si>
  <si>
    <t xml:space="preserve">No data masking or anonymization applied to test datasets containing real customer PII</t>
  </si>
  <si>
    <t xml:space="preserve">ISO 27001 A.14.3 / SOC 2 CC6.1</t>
  </si>
  <si>
    <t xml:space="preserve">Current SOC 2 Type II and ISO 27001 certification on file</t>
  </si>
  <si>
    <t xml:space="preserve">SOC 2 Type II + ISO 27001 certified; encryption at rest/in transit; MFA enforced for all portal users</t>
  </si>
  <si>
    <t xml:space="preserve">No significant gaps identified</t>
  </si>
  <si>
    <t xml:space="preserve">SOC 2 CC6.1 / ISO 27001 A.10</t>
  </si>
  <si>
    <t xml:space="preserve">Security questionnaire sent 90 days ago has not been returned</t>
  </si>
  <si>
    <t xml:space="preserve">None verified; no completed security questionnaire on file</t>
  </si>
  <si>
    <t xml:space="preserve">No visibility into vendor's security controls; risk treated as highest until assessment is completed</t>
  </si>
  <si>
    <t xml:space="preserve">NIST SP 800-161 (unassessed third party)</t>
  </si>
  <si>
    <t xml:space="preserve">Finding</t>
  </si>
  <si>
    <t xml:space="preserve">Recommended Action</t>
  </si>
  <si>
    <t xml:space="preserve">Owner</t>
  </si>
  <si>
    <t xml:space="preserve">Priority</t>
  </si>
  <si>
    <t xml:space="preserve">Target Date</t>
  </si>
  <si>
    <t xml:space="preserve">Expired SOC 2 report, shared API keys, no MFA on vendor portal</t>
  </si>
  <si>
    <t xml:space="preserve">Request updated SOC 2 Type II report; require separate API keys per environment; enforce MFA for all vendor portal access before contract renewal</t>
  </si>
  <si>
    <t xml:space="preserve">Vendor Management / GRC</t>
  </si>
  <si>
    <t xml:space="preserve">Critical</t>
  </si>
  <si>
    <t xml:space="preserve">2026-09-15</t>
  </si>
  <si>
    <t xml:space="preserve">Not Started</t>
  </si>
  <si>
    <t xml:space="preserve">Unassessed fourth-party data center subcontractor</t>
  </si>
  <si>
    <t xml:space="preserve">Request fourth-party attestation or SOC 2 bridge letter from CloudNova covering their data center subcontractor</t>
  </si>
  <si>
    <t xml:space="preserve">GRC Analyst</t>
  </si>
  <si>
    <t xml:space="preserve">Medium</t>
  </si>
  <si>
    <t xml:space="preserve">2026-10-30</t>
  </si>
  <si>
    <t xml:space="preserve">Indefinite retention of customer PII in chat transcripts</t>
  </si>
  <si>
    <t xml:space="preserve">Negotiate a data retention and deletion clause into the vendor contract; confirm transcripts are excluded from any model training data</t>
  </si>
  <si>
    <t xml:space="preserve">Legal / GRC</t>
  </si>
  <si>
    <t xml:space="preserve">High</t>
  </si>
  <si>
    <t xml:space="preserve">2026-09-30</t>
  </si>
  <si>
    <t xml:space="preserve">In Progress</t>
  </si>
  <si>
    <t xml:space="preserve">Unmasked production data used in test environments</t>
  </si>
  <si>
    <t xml:space="preserve">Require vendor to implement data masking/anonymization for all non-production environments</t>
  </si>
  <si>
    <t xml:space="preserve">Vendor Management</t>
  </si>
  <si>
    <t xml:space="preserve">2026-10-15</t>
  </si>
  <si>
    <t xml:space="preserve">Continue standard annual review cycle; no immediate action required</t>
  </si>
  <si>
    <t xml:space="preserve">Low</t>
  </si>
  <si>
    <t xml:space="preserve">2027-01-15</t>
  </si>
  <si>
    <t xml:space="preserve">Security questionnaire not returned after 90 days</t>
  </si>
  <si>
    <t xml:space="preserve">Escalate to vendor account manager; suspend new data sharing until questionnaire is completed and reviewed</t>
  </si>
  <si>
    <t xml:space="preserve">2026-08-31</t>
  </si>
  <si>
    <t xml:space="preserve">Executive Summary: Vendor Risk Posture</t>
  </si>
  <si>
    <t xml:space="preserve">Risk Tier</t>
  </si>
  <si>
    <t xml:space="preserve">Vendor Count</t>
  </si>
  <si>
    <t xml:space="preserve">Key Observations</t>
  </si>
  <si>
    <t xml:space="preserve">Two of six vendors (PaySecure Processing, QuickShip Logistics) carry Critical risk ratings requiring immediate attention: PaySecure due to an expired SOC 2 report combined with weak access controls on a payment-data vendor, and QuickShip due to a complete absence of security assessment evidence. One vendor (ChatAssist AI) presents High risk tied to indefinite retention of customer PII with no data lifecycle policy. This is a growing concern, as AI vendors increasingly handle customer-facing data. PeopleFirst Payroll, despite handling the most regulated data category (SSNs, banking details), presents the lowest risk due to strong, verified controls. demonstrating that data sensitivity alone does not determine risk; control maturity is the deciding factor.</t>
  </si>
  <si>
    <t xml:space="preserve">Recommendations</t>
  </si>
  <si>
    <t xml:space="preserve">1) Suspend new data sharing with QuickShip Logistics until its security questionnaire is completed. 2) Require PaySecure Processing to provide a current SOC 2 report and remediate API key and MFA gaps prior to contract renewal. 3) Add data retention and deletion terms to the ChatAssist AI contract at next renewal. 4) Establish an annual vendor re-assessment cycle for all Critical- and High-tier vendors, and a biennial cycle for Medium- and Low-tier vendors.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</si>
</sst>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3864"/>
      <name val="Calibri"/>
      <family val="0"/>
      <charset val="1"/>
    </font>
    <font>
      <b val="true"/>
      <sz val="12"/>
      <color rgb="FF1F3864"/>
      <name val="Calibri"/>
      <family val="0"/>
      <charset val="1"/>
    </font>
    <font>
      <sz val="10"/>
      <name val="Calibri"/>
      <family val="0"/>
      <charset val="1"/>
    </font>
    <font>
      <b val="true"/>
      <sz val="11"/>
      <color rgb="FFFFFFFF"/>
      <name val="Calibri"/>
      <family val="0"/>
      <charset val="1"/>
    </font>
    <font>
      <b val="true"/>
      <sz val="10"/>
      <name val="Calibri"/>
      <family val="0"/>
      <charset val="1"/>
    </font>
    <font>
      <b val="true"/>
      <sz val="10"/>
      <color rgb="FFFFFFFF"/>
      <name val="Calibri"/>
      <family val="0"/>
      <charset val="1"/>
    </font>
  </fonts>
  <fills count="7">
    <fill>
      <patternFill patternType="none"/>
    </fill>
    <fill>
      <patternFill patternType="gray125"/>
    </fill>
    <fill>
      <patternFill patternType="solid">
        <fgColor rgb="FF1F3864"/>
        <bgColor rgb="FF333333"/>
      </patternFill>
    </fill>
    <fill>
      <patternFill patternType="solid">
        <fgColor rgb="FF70AD47"/>
        <bgColor rgb="FF339966"/>
      </patternFill>
    </fill>
    <fill>
      <patternFill patternType="solid">
        <fgColor rgb="FFFFC000"/>
        <bgColor rgb="FFFF9900"/>
      </patternFill>
    </fill>
    <fill>
      <patternFill patternType="solid">
        <fgColor rgb="FFED7D31"/>
        <bgColor rgb="FFFF8080"/>
      </patternFill>
    </fill>
    <fill>
      <patternFill patternType="solid">
        <fgColor rgb="FFC00000"/>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8" min="2" style="0" width="14"/>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2" t="s">
        <v>2</v>
      </c>
    </row>
    <row r="6" customFormat="false" ht="60" hidden="false" customHeight="true" outlineLevel="0" collapsed="false">
      <c r="B6" s="3" t="s">
        <v>3</v>
      </c>
      <c r="C6" s="3"/>
      <c r="D6" s="3"/>
      <c r="E6" s="3"/>
      <c r="F6" s="3"/>
      <c r="G6" s="3"/>
      <c r="H6" s="3"/>
    </row>
    <row r="8" customFormat="false" ht="15" hidden="false" customHeight="false" outlineLevel="0" collapsed="false">
      <c r="B8" s="2" t="s">
        <v>4</v>
      </c>
    </row>
    <row r="9" customFormat="false" ht="60" hidden="false" customHeight="true" outlineLevel="0" collapsed="false">
      <c r="B9" s="3" t="s">
        <v>5</v>
      </c>
      <c r="C9" s="3"/>
      <c r="D9" s="3"/>
      <c r="E9" s="3"/>
      <c r="F9" s="3"/>
      <c r="G9" s="3"/>
      <c r="H9" s="3"/>
    </row>
    <row r="11" customFormat="false" ht="15" hidden="false" customHeight="false" outlineLevel="0" collapsed="false">
      <c r="B11" s="2" t="s">
        <v>6</v>
      </c>
    </row>
    <row r="12" customFormat="false" ht="60" hidden="false" customHeight="true" outlineLevel="0" collapsed="false">
      <c r="B12" s="3" t="s">
        <v>7</v>
      </c>
      <c r="C12" s="3"/>
      <c r="D12" s="3"/>
      <c r="E12" s="3"/>
      <c r="F12" s="3"/>
      <c r="G12" s="3"/>
      <c r="H12" s="3"/>
    </row>
    <row r="14" customFormat="false" ht="15" hidden="false" customHeight="false" outlineLevel="0" collapsed="false">
      <c r="B14" s="2" t="s">
        <v>8</v>
      </c>
    </row>
    <row r="15" customFormat="false" ht="60" hidden="false" customHeight="true" outlineLevel="0" collapsed="false">
      <c r="B15" s="3" t="s">
        <v>9</v>
      </c>
      <c r="C15" s="3"/>
      <c r="D15" s="3"/>
      <c r="E15" s="3"/>
      <c r="F15" s="3"/>
      <c r="G15" s="3"/>
      <c r="H15" s="3"/>
    </row>
    <row r="17" customFormat="false" ht="15" hidden="false" customHeight="false" outlineLevel="0" collapsed="false">
      <c r="B17" s="2" t="s">
        <v>10</v>
      </c>
    </row>
    <row r="18" customFormat="false" ht="60" hidden="false" customHeight="true" outlineLevel="0" collapsed="false">
      <c r="B18" s="3" t="s">
        <v>11</v>
      </c>
      <c r="C18" s="3"/>
      <c r="D18" s="3"/>
      <c r="E18" s="3"/>
      <c r="F18" s="3"/>
      <c r="G18" s="3"/>
      <c r="H18" s="3"/>
    </row>
  </sheetData>
  <mergeCells count="5">
    <mergeCell ref="B6:H6"/>
    <mergeCell ref="B9:H9"/>
    <mergeCell ref="B12:H12"/>
    <mergeCell ref="B15:H15"/>
    <mergeCell ref="B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8" min="2" style="0" width="14"/>
  </cols>
  <sheetData>
    <row r="2" customFormat="false" ht="19.7" hidden="false" customHeight="false" outlineLevel="0" collapsed="false">
      <c r="B2" s="1" t="s">
        <v>12</v>
      </c>
    </row>
    <row r="4" customFormat="false" ht="15" hidden="false" customHeight="false" outlineLevel="0" collapsed="false">
      <c r="B4" s="2" t="s">
        <v>13</v>
      </c>
    </row>
    <row r="5" customFormat="false" ht="54.75" hidden="false" customHeight="true" outlineLevel="0" collapsed="false">
      <c r="B5" s="3" t="s">
        <v>14</v>
      </c>
      <c r="C5" s="3"/>
      <c r="D5" s="3"/>
      <c r="E5" s="3"/>
      <c r="F5" s="3"/>
      <c r="G5" s="3"/>
      <c r="H5" s="3"/>
    </row>
    <row r="7" customFormat="false" ht="15" hidden="false" customHeight="false" outlineLevel="0" collapsed="false">
      <c r="B7" s="2" t="s">
        <v>15</v>
      </c>
    </row>
    <row r="8" customFormat="false" ht="54.75" hidden="false" customHeight="true" outlineLevel="0" collapsed="false">
      <c r="B8" s="3" t="s">
        <v>16</v>
      </c>
      <c r="C8" s="3"/>
      <c r="D8" s="3"/>
      <c r="E8" s="3"/>
      <c r="F8" s="3"/>
      <c r="G8" s="3"/>
      <c r="H8" s="3"/>
    </row>
    <row r="10" customFormat="false" ht="15" hidden="false" customHeight="false" outlineLevel="0" collapsed="false">
      <c r="B10" s="2" t="s">
        <v>17</v>
      </c>
    </row>
    <row r="11" customFormat="false" ht="54.75" hidden="false" customHeight="true" outlineLevel="0" collapsed="false">
      <c r="B11" s="3" t="s">
        <v>18</v>
      </c>
      <c r="C11" s="3"/>
      <c r="D11" s="3"/>
      <c r="E11" s="3"/>
      <c r="F11" s="3"/>
      <c r="G11" s="3"/>
      <c r="H11" s="3"/>
    </row>
    <row r="13" customFormat="false" ht="15" hidden="false" customHeight="false" outlineLevel="0" collapsed="false">
      <c r="B13" s="2" t="s">
        <v>19</v>
      </c>
    </row>
    <row r="14" customFormat="false" ht="54.75" hidden="false" customHeight="true" outlineLevel="0" collapsed="false">
      <c r="B14" s="3" t="s">
        <v>20</v>
      </c>
      <c r="C14" s="3"/>
      <c r="D14" s="3"/>
      <c r="E14" s="3"/>
      <c r="F14" s="3"/>
      <c r="G14" s="3"/>
      <c r="H14" s="3"/>
    </row>
    <row r="16" customFormat="false" ht="15" hidden="false" customHeight="false" outlineLevel="0" collapsed="false">
      <c r="B16" s="2" t="s">
        <v>21</v>
      </c>
    </row>
    <row r="17" customFormat="false" ht="54.75" hidden="false" customHeight="true" outlineLevel="0" collapsed="false">
      <c r="B17" s="3" t="s">
        <v>22</v>
      </c>
      <c r="C17" s="3"/>
      <c r="D17" s="3"/>
      <c r="E17" s="3"/>
      <c r="F17" s="3"/>
      <c r="G17" s="3"/>
      <c r="H17" s="3"/>
    </row>
  </sheetData>
  <mergeCells count="5">
    <mergeCell ref="B5:H5"/>
    <mergeCell ref="B8:H8"/>
    <mergeCell ref="B11:H11"/>
    <mergeCell ref="B14:H14"/>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0"/>
    <col collapsed="false" customWidth="true" hidden="false" outlineLevel="0" max="4" min="4" style="0" width="40"/>
    <col collapsed="false" customWidth="true" hidden="false" outlineLevel="0" max="5" min="5" style="0" width="32"/>
    <col collapsed="false" customWidth="true" hidden="false" outlineLevel="0" max="6" min="6" style="0" width="16"/>
    <col collapsed="false" customWidth="true" hidden="false" outlineLevel="0" max="7" min="7" style="0" width="20"/>
    <col collapsed="false" customWidth="true" hidden="false" outlineLevel="0" max="8" min="8" style="0" width="14"/>
  </cols>
  <sheetData>
    <row r="1" customFormat="false" ht="15" hidden="false" customHeight="false" outlineLevel="0" collapsed="false">
      <c r="A1" s="4" t="s">
        <v>23</v>
      </c>
      <c r="B1" s="4" t="s">
        <v>24</v>
      </c>
      <c r="C1" s="4" t="s">
        <v>25</v>
      </c>
      <c r="D1" s="4" t="s">
        <v>26</v>
      </c>
      <c r="E1" s="4" t="s">
        <v>27</v>
      </c>
      <c r="F1" s="4" t="s">
        <v>28</v>
      </c>
      <c r="G1" s="4" t="s">
        <v>29</v>
      </c>
      <c r="H1" s="4" t="s">
        <v>30</v>
      </c>
    </row>
    <row r="2" customFormat="false" ht="23.85" hidden="false" customHeight="false" outlineLevel="0" collapsed="false">
      <c r="A2" s="5" t="s">
        <v>31</v>
      </c>
      <c r="B2" s="5" t="s">
        <v>32</v>
      </c>
      <c r="C2" s="5" t="s">
        <v>33</v>
      </c>
      <c r="D2" s="5" t="s">
        <v>34</v>
      </c>
      <c r="E2" s="5" t="s">
        <v>35</v>
      </c>
      <c r="F2" s="5" t="s">
        <v>36</v>
      </c>
      <c r="G2" s="5" t="s">
        <v>37</v>
      </c>
      <c r="H2" s="5" t="s">
        <v>38</v>
      </c>
    </row>
    <row r="3" customFormat="false" ht="23.85" hidden="false" customHeight="false" outlineLevel="0" collapsed="false">
      <c r="A3" s="5" t="s">
        <v>39</v>
      </c>
      <c r="B3" s="5" t="s">
        <v>40</v>
      </c>
      <c r="C3" s="5" t="s">
        <v>41</v>
      </c>
      <c r="D3" s="5" t="s">
        <v>42</v>
      </c>
      <c r="E3" s="5" t="s">
        <v>43</v>
      </c>
      <c r="F3" s="5" t="s">
        <v>44</v>
      </c>
      <c r="G3" s="5" t="s">
        <v>45</v>
      </c>
      <c r="H3" s="5" t="s">
        <v>46</v>
      </c>
    </row>
    <row r="4" customFormat="false" ht="23.85" hidden="false" customHeight="false" outlineLevel="0" collapsed="false">
      <c r="A4" s="5" t="s">
        <v>47</v>
      </c>
      <c r="B4" s="5" t="s">
        <v>48</v>
      </c>
      <c r="C4" s="5" t="s">
        <v>49</v>
      </c>
      <c r="D4" s="5" t="s">
        <v>50</v>
      </c>
      <c r="E4" s="5" t="s">
        <v>51</v>
      </c>
      <c r="F4" s="5" t="s">
        <v>44</v>
      </c>
      <c r="G4" s="5" t="s">
        <v>52</v>
      </c>
      <c r="H4" s="5" t="s">
        <v>53</v>
      </c>
    </row>
    <row r="5" customFormat="false" ht="23.85" hidden="false" customHeight="false" outlineLevel="0" collapsed="false">
      <c r="A5" s="5" t="s">
        <v>54</v>
      </c>
      <c r="B5" s="5" t="s">
        <v>55</v>
      </c>
      <c r="C5" s="5" t="s">
        <v>56</v>
      </c>
      <c r="D5" s="5" t="s">
        <v>57</v>
      </c>
      <c r="E5" s="5" t="s">
        <v>58</v>
      </c>
      <c r="F5" s="5" t="s">
        <v>44</v>
      </c>
      <c r="G5" s="5" t="s">
        <v>52</v>
      </c>
      <c r="H5" s="5" t="s">
        <v>59</v>
      </c>
    </row>
    <row r="6" customFormat="false" ht="23.85" hidden="false" customHeight="false" outlineLevel="0" collapsed="false">
      <c r="A6" s="5" t="s">
        <v>60</v>
      </c>
      <c r="B6" s="5" t="s">
        <v>61</v>
      </c>
      <c r="C6" s="5" t="s">
        <v>62</v>
      </c>
      <c r="D6" s="5" t="s">
        <v>63</v>
      </c>
      <c r="E6" s="5" t="s">
        <v>64</v>
      </c>
      <c r="F6" s="5" t="s">
        <v>36</v>
      </c>
      <c r="G6" s="5" t="s">
        <v>65</v>
      </c>
      <c r="H6" s="5" t="s">
        <v>66</v>
      </c>
    </row>
    <row r="7" customFormat="false" ht="23.85" hidden="false" customHeight="false" outlineLevel="0" collapsed="false">
      <c r="A7" s="5" t="s">
        <v>67</v>
      </c>
      <c r="B7" s="5" t="s">
        <v>68</v>
      </c>
      <c r="C7" s="5" t="s">
        <v>69</v>
      </c>
      <c r="D7" s="5" t="s">
        <v>70</v>
      </c>
      <c r="E7" s="5" t="s">
        <v>71</v>
      </c>
      <c r="F7" s="5" t="s">
        <v>72</v>
      </c>
      <c r="G7" s="5" t="s">
        <v>73</v>
      </c>
      <c r="H7" s="5"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7" min="3" style="0" width="14"/>
  </cols>
  <sheetData>
    <row r="2" customFormat="false" ht="19.7" hidden="false" customHeight="false" outlineLevel="0" collapsed="false">
      <c r="B2" s="1" t="s">
        <v>75</v>
      </c>
    </row>
    <row r="4" customFormat="false" ht="15" hidden="false" customHeight="false" outlineLevel="0" collapsed="false">
      <c r="B4" s="6" t="s">
        <v>76</v>
      </c>
      <c r="C4" s="7" t="s">
        <v>77</v>
      </c>
      <c r="D4" s="7" t="s">
        <v>78</v>
      </c>
      <c r="E4" s="7" t="s">
        <v>79</v>
      </c>
      <c r="F4" s="7" t="s">
        <v>80</v>
      </c>
      <c r="G4" s="7" t="s">
        <v>81</v>
      </c>
    </row>
    <row r="5" customFormat="false" ht="15" hidden="false" customHeight="false" outlineLevel="0" collapsed="false">
      <c r="B5" s="6" t="s">
        <v>82</v>
      </c>
      <c r="C5" s="8" t="n">
        <v>1</v>
      </c>
      <c r="D5" s="8" t="n">
        <v>2</v>
      </c>
      <c r="E5" s="8" t="n">
        <v>3</v>
      </c>
      <c r="F5" s="9" t="n">
        <v>4</v>
      </c>
      <c r="G5" s="9" t="n">
        <v>5</v>
      </c>
    </row>
    <row r="6" customFormat="false" ht="15" hidden="false" customHeight="false" outlineLevel="0" collapsed="false">
      <c r="B6" s="6" t="s">
        <v>83</v>
      </c>
      <c r="C6" s="8" t="n">
        <v>2</v>
      </c>
      <c r="D6" s="9" t="n">
        <v>4</v>
      </c>
      <c r="E6" s="9" t="n">
        <v>6</v>
      </c>
      <c r="F6" s="9" t="n">
        <v>8</v>
      </c>
      <c r="G6" s="10" t="n">
        <v>10</v>
      </c>
    </row>
    <row r="7" customFormat="false" ht="15" hidden="false" customHeight="false" outlineLevel="0" collapsed="false">
      <c r="B7" s="6" t="s">
        <v>84</v>
      </c>
      <c r="C7" s="8" t="n">
        <v>3</v>
      </c>
      <c r="D7" s="9" t="n">
        <v>6</v>
      </c>
      <c r="E7" s="10" t="n">
        <v>9</v>
      </c>
      <c r="F7" s="10" t="n">
        <v>12</v>
      </c>
      <c r="G7" s="11" t="n">
        <v>15</v>
      </c>
    </row>
    <row r="8" customFormat="false" ht="15" hidden="false" customHeight="false" outlineLevel="0" collapsed="false">
      <c r="B8" s="6" t="s">
        <v>85</v>
      </c>
      <c r="C8" s="9" t="n">
        <v>4</v>
      </c>
      <c r="D8" s="9" t="n">
        <v>8</v>
      </c>
      <c r="E8" s="10" t="n">
        <v>12</v>
      </c>
      <c r="F8" s="11" t="n">
        <v>16</v>
      </c>
      <c r="G8" s="11" t="n">
        <v>20</v>
      </c>
    </row>
    <row r="9" customFormat="false" ht="15" hidden="false" customHeight="false" outlineLevel="0" collapsed="false">
      <c r="B9" s="6" t="s">
        <v>86</v>
      </c>
      <c r="C9" s="9" t="n">
        <v>5</v>
      </c>
      <c r="D9" s="10" t="n">
        <v>10</v>
      </c>
      <c r="E9" s="11" t="n">
        <v>15</v>
      </c>
      <c r="F9" s="11" t="n">
        <v>20</v>
      </c>
      <c r="G9" s="11" t="n">
        <v>25</v>
      </c>
    </row>
    <row r="11" customFormat="false" ht="15" hidden="false" customHeight="false" outlineLevel="0" collapsed="false">
      <c r="B11" s="6" t="s">
        <v>87</v>
      </c>
    </row>
    <row r="12" customFormat="false" ht="15" hidden="false" customHeight="false" outlineLevel="0" collapsed="false">
      <c r="B12" s="12" t="s">
        <v>88</v>
      </c>
      <c r="C12" s="13"/>
    </row>
    <row r="13" customFormat="false" ht="15" hidden="false" customHeight="false" outlineLevel="0" collapsed="false">
      <c r="B13" s="12" t="s">
        <v>89</v>
      </c>
      <c r="C13" s="14"/>
    </row>
    <row r="14" customFormat="false" ht="15" hidden="false" customHeight="false" outlineLevel="0" collapsed="false">
      <c r="B14" s="12" t="s">
        <v>90</v>
      </c>
      <c r="C14" s="15"/>
    </row>
    <row r="15" customFormat="false" ht="15" hidden="false" customHeight="false" outlineLevel="0" collapsed="false">
      <c r="B15" s="12" t="s">
        <v>91</v>
      </c>
      <c r="C15"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4" min="3" style="0" width="30"/>
    <col collapsed="false" customWidth="true" hidden="false" outlineLevel="0" max="5" min="5" style="0" width="34"/>
    <col collapsed="false" customWidth="true" hidden="false" outlineLevel="0" max="6" min="6" style="0" width="20"/>
    <col collapsed="false" customWidth="true" hidden="false" outlineLevel="0" max="7" min="7" style="0" width="10"/>
    <col collapsed="false" customWidth="true" hidden="false" outlineLevel="0" max="8" min="8" style="0" width="9"/>
    <col collapsed="false" customWidth="true" hidden="false" outlineLevel="0" max="10" min="9" style="0" width="11"/>
    <col collapsed="false" customWidth="true" hidden="false" outlineLevel="0" max="11" min="11" style="0" width="10"/>
    <col collapsed="false" customWidth="true" hidden="false" outlineLevel="0" max="12" min="12" style="0" width="9"/>
    <col collapsed="false" customWidth="true" hidden="false" outlineLevel="0" max="14" min="13" style="0" width="11"/>
    <col collapsed="false" customWidth="true" hidden="false" outlineLevel="0" max="15" min="15" style="0" width="13"/>
  </cols>
  <sheetData>
    <row r="1" customFormat="false" ht="28.35" hidden="false" customHeight="false" outlineLevel="0" collapsed="false">
      <c r="A1" s="4" t="s">
        <v>23</v>
      </c>
      <c r="B1" s="4" t="s">
        <v>24</v>
      </c>
      <c r="C1" s="4" t="s">
        <v>92</v>
      </c>
      <c r="D1" s="4" t="s">
        <v>93</v>
      </c>
      <c r="E1" s="4" t="s">
        <v>94</v>
      </c>
      <c r="F1" s="4" t="s">
        <v>95</v>
      </c>
      <c r="G1" s="4" t="s">
        <v>96</v>
      </c>
      <c r="H1" s="4" t="s">
        <v>97</v>
      </c>
      <c r="I1" s="4" t="s">
        <v>98</v>
      </c>
      <c r="J1" s="4" t="s">
        <v>99</v>
      </c>
      <c r="K1" s="4" t="s">
        <v>100</v>
      </c>
      <c r="L1" s="4" t="s">
        <v>101</v>
      </c>
      <c r="M1" s="4" t="s">
        <v>102</v>
      </c>
      <c r="N1" s="4" t="s">
        <v>103</v>
      </c>
      <c r="O1" s="4" t="s">
        <v>104</v>
      </c>
    </row>
    <row r="2" customFormat="false" ht="35.05" hidden="false" customHeight="false" outlineLevel="0" collapsed="false">
      <c r="A2" s="5" t="s">
        <v>31</v>
      </c>
      <c r="B2" s="5" t="s">
        <v>32</v>
      </c>
      <c r="C2" s="5" t="s">
        <v>105</v>
      </c>
      <c r="D2" s="5" t="s">
        <v>106</v>
      </c>
      <c r="E2" s="5" t="s">
        <v>107</v>
      </c>
      <c r="F2" s="5" t="s">
        <v>108</v>
      </c>
      <c r="G2" s="5" t="n">
        <v>5</v>
      </c>
      <c r="H2" s="5" t="n">
        <v>5</v>
      </c>
      <c r="I2" s="5" t="n">
        <f aca="false">G2*H2</f>
        <v>25</v>
      </c>
      <c r="J2" s="5" t="str">
        <f aca="false">IF(I2&gt;=15,"Critical",IF(I2&gt;=9,"High",IF(I2&gt;=4,"Medium","Low")))</f>
        <v>Critical</v>
      </c>
      <c r="K2" s="5" t="n">
        <v>4</v>
      </c>
      <c r="L2" s="5" t="n">
        <v>5</v>
      </c>
      <c r="M2" s="5" t="n">
        <f aca="false">K2*L2</f>
        <v>20</v>
      </c>
      <c r="N2" s="5" t="str">
        <f aca="false">IF(M2&gt;=15,"Critical",IF(M2&gt;=9,"High",IF(M2&gt;=4,"Medium","Low")))</f>
        <v>Critical</v>
      </c>
      <c r="O2" s="5" t="s">
        <v>109</v>
      </c>
    </row>
    <row r="3" customFormat="false" ht="35.05" hidden="false" customHeight="false" outlineLevel="0" collapsed="false">
      <c r="A3" s="5" t="s">
        <v>39</v>
      </c>
      <c r="B3" s="5" t="s">
        <v>40</v>
      </c>
      <c r="C3" s="5" t="s">
        <v>110</v>
      </c>
      <c r="D3" s="5" t="s">
        <v>111</v>
      </c>
      <c r="E3" s="5" t="s">
        <v>112</v>
      </c>
      <c r="F3" s="5" t="s">
        <v>113</v>
      </c>
      <c r="G3" s="5" t="n">
        <v>4</v>
      </c>
      <c r="H3" s="5" t="n">
        <v>4</v>
      </c>
      <c r="I3" s="5" t="n">
        <f aca="false">G3*H3</f>
        <v>16</v>
      </c>
      <c r="J3" s="5" t="str">
        <f aca="false">IF(I3&gt;=15,"Critical",IF(I3&gt;=9,"High",IF(I3&gt;=4,"Medium","Low")))</f>
        <v>Critical</v>
      </c>
      <c r="K3" s="5" t="n">
        <v>2</v>
      </c>
      <c r="L3" s="5" t="n">
        <v>3</v>
      </c>
      <c r="M3" s="5" t="n">
        <f aca="false">K3*L3</f>
        <v>6</v>
      </c>
      <c r="N3" s="5" t="str">
        <f aca="false">IF(M3&gt;=15,"Critical",IF(M3&gt;=9,"High",IF(M3&gt;=4,"Medium","Low")))</f>
        <v>Medium</v>
      </c>
      <c r="O3" s="5" t="s">
        <v>114</v>
      </c>
    </row>
    <row r="4" customFormat="false" ht="35.05" hidden="false" customHeight="false" outlineLevel="0" collapsed="false">
      <c r="A4" s="5" t="s">
        <v>47</v>
      </c>
      <c r="B4" s="5" t="s">
        <v>48</v>
      </c>
      <c r="C4" s="5" t="s">
        <v>115</v>
      </c>
      <c r="D4" s="5" t="s">
        <v>116</v>
      </c>
      <c r="E4" s="5" t="s">
        <v>117</v>
      </c>
      <c r="F4" s="5" t="s">
        <v>118</v>
      </c>
      <c r="G4" s="5" t="n">
        <v>5</v>
      </c>
      <c r="H4" s="5" t="n">
        <v>4</v>
      </c>
      <c r="I4" s="5" t="n">
        <f aca="false">G4*H4</f>
        <v>20</v>
      </c>
      <c r="J4" s="5" t="str">
        <f aca="false">IF(I4&gt;=15,"Critical",IF(I4&gt;=9,"High",IF(I4&gt;=4,"Medium","Low")))</f>
        <v>Critical</v>
      </c>
      <c r="K4" s="5" t="n">
        <v>4</v>
      </c>
      <c r="L4" s="5" t="n">
        <v>4</v>
      </c>
      <c r="M4" s="5" t="n">
        <f aca="false">K4*L4</f>
        <v>16</v>
      </c>
      <c r="N4" s="5" t="str">
        <f aca="false">IF(M4&gt;=15,"Critical",IF(M4&gt;=9,"High",IF(M4&gt;=4,"Medium","Low")))</f>
        <v>Critical</v>
      </c>
      <c r="O4" s="5" t="s">
        <v>109</v>
      </c>
    </row>
    <row r="5" customFormat="false" ht="23.85" hidden="false" customHeight="false" outlineLevel="0" collapsed="false">
      <c r="A5" s="5" t="s">
        <v>54</v>
      </c>
      <c r="B5" s="5" t="s">
        <v>55</v>
      </c>
      <c r="C5" s="5" t="s">
        <v>119</v>
      </c>
      <c r="D5" s="5" t="s">
        <v>120</v>
      </c>
      <c r="E5" s="5" t="s">
        <v>121</v>
      </c>
      <c r="F5" s="5" t="s">
        <v>122</v>
      </c>
      <c r="G5" s="5" t="n">
        <v>4</v>
      </c>
      <c r="H5" s="5" t="n">
        <v>4</v>
      </c>
      <c r="I5" s="5" t="n">
        <f aca="false">G5*H5</f>
        <v>16</v>
      </c>
      <c r="J5" s="5" t="str">
        <f aca="false">IF(I5&gt;=15,"Critical",IF(I5&gt;=9,"High",IF(I5&gt;=4,"Medium","Low")))</f>
        <v>Critical</v>
      </c>
      <c r="K5" s="5" t="n">
        <v>3</v>
      </c>
      <c r="L5" s="5" t="n">
        <v>4</v>
      </c>
      <c r="M5" s="5" t="n">
        <f aca="false">K5*L5</f>
        <v>12</v>
      </c>
      <c r="N5" s="5" t="str">
        <f aca="false">IF(M5&gt;=15,"Critical",IF(M5&gt;=9,"High",IF(M5&gt;=4,"Medium","Low")))</f>
        <v>High</v>
      </c>
      <c r="O5" s="5" t="s">
        <v>109</v>
      </c>
    </row>
    <row r="6" customFormat="false" ht="35.05" hidden="false" customHeight="false" outlineLevel="0" collapsed="false">
      <c r="A6" s="5" t="s">
        <v>60</v>
      </c>
      <c r="B6" s="5" t="s">
        <v>61</v>
      </c>
      <c r="C6" s="5" t="s">
        <v>123</v>
      </c>
      <c r="D6" s="5" t="s">
        <v>124</v>
      </c>
      <c r="E6" s="5" t="s">
        <v>125</v>
      </c>
      <c r="F6" s="5" t="s">
        <v>126</v>
      </c>
      <c r="G6" s="5" t="n">
        <v>4</v>
      </c>
      <c r="H6" s="5" t="n">
        <v>5</v>
      </c>
      <c r="I6" s="5" t="n">
        <f aca="false">G6*H6</f>
        <v>20</v>
      </c>
      <c r="J6" s="5" t="str">
        <f aca="false">IF(I6&gt;=15,"Critical",IF(I6&gt;=9,"High",IF(I6&gt;=4,"Medium","Low")))</f>
        <v>Critical</v>
      </c>
      <c r="K6" s="5" t="n">
        <v>1</v>
      </c>
      <c r="L6" s="5" t="n">
        <v>3</v>
      </c>
      <c r="M6" s="5" t="n">
        <f aca="false">K6*L6</f>
        <v>3</v>
      </c>
      <c r="N6" s="5" t="str">
        <f aca="false">IF(M6&gt;=15,"Critical",IF(M6&gt;=9,"High",IF(M6&gt;=4,"Medium","Low")))</f>
        <v>Low</v>
      </c>
      <c r="O6" s="5" t="s">
        <v>114</v>
      </c>
    </row>
    <row r="7" customFormat="false" ht="35.05" hidden="false" customHeight="false" outlineLevel="0" collapsed="false">
      <c r="A7" s="5" t="s">
        <v>67</v>
      </c>
      <c r="B7" s="5" t="s">
        <v>68</v>
      </c>
      <c r="C7" s="5" t="s">
        <v>127</v>
      </c>
      <c r="D7" s="5" t="s">
        <v>128</v>
      </c>
      <c r="E7" s="5" t="s">
        <v>129</v>
      </c>
      <c r="F7" s="5" t="s">
        <v>130</v>
      </c>
      <c r="G7" s="5" t="n">
        <v>5</v>
      </c>
      <c r="H7" s="5" t="n">
        <v>4</v>
      </c>
      <c r="I7" s="5" t="n">
        <f aca="false">G7*H7</f>
        <v>20</v>
      </c>
      <c r="J7" s="5" t="str">
        <f aca="false">IF(I7&gt;=15,"Critical",IF(I7&gt;=9,"High",IF(I7&gt;=4,"Medium","Low")))</f>
        <v>Critical</v>
      </c>
      <c r="K7" s="5" t="n">
        <v>5</v>
      </c>
      <c r="L7" s="5" t="n">
        <v>4</v>
      </c>
      <c r="M7" s="5" t="n">
        <f aca="false">K7*L7</f>
        <v>20</v>
      </c>
      <c r="N7" s="5" t="str">
        <f aca="false">IF(M7&gt;=15,"Critical",IF(M7&gt;=9,"High",IF(M7&gt;=4,"Medium","Low")))</f>
        <v>Critical</v>
      </c>
      <c r="O7" s="5"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42"/>
    <col collapsed="false" customWidth="true" hidden="false" outlineLevel="0" max="4" min="4" style="0" width="20"/>
    <col collapsed="false" customWidth="true" hidden="false" outlineLevel="0" max="5" min="5" style="0" width="12"/>
    <col collapsed="false" customWidth="true" hidden="false" outlineLevel="0" max="7" min="6" style="0" width="14"/>
  </cols>
  <sheetData>
    <row r="1" customFormat="false" ht="15" hidden="false" customHeight="false" outlineLevel="0" collapsed="false">
      <c r="A1" s="4" t="s">
        <v>24</v>
      </c>
      <c r="B1" s="4" t="s">
        <v>131</v>
      </c>
      <c r="C1" s="4" t="s">
        <v>132</v>
      </c>
      <c r="D1" s="4" t="s">
        <v>133</v>
      </c>
      <c r="E1" s="4" t="s">
        <v>134</v>
      </c>
      <c r="F1" s="4" t="s">
        <v>135</v>
      </c>
      <c r="G1" s="4" t="s">
        <v>104</v>
      </c>
    </row>
    <row r="2" customFormat="false" ht="35.05" hidden="false" customHeight="false" outlineLevel="0" collapsed="false">
      <c r="A2" s="5" t="s">
        <v>32</v>
      </c>
      <c r="B2" s="5" t="s">
        <v>136</v>
      </c>
      <c r="C2" s="5" t="s">
        <v>137</v>
      </c>
      <c r="D2" s="5" t="s">
        <v>138</v>
      </c>
      <c r="E2" s="5" t="s">
        <v>139</v>
      </c>
      <c r="F2" s="5" t="s">
        <v>140</v>
      </c>
      <c r="G2" s="5" t="s">
        <v>141</v>
      </c>
    </row>
    <row r="3" customFormat="false" ht="35.05" hidden="false" customHeight="false" outlineLevel="0" collapsed="false">
      <c r="A3" s="5" t="s">
        <v>40</v>
      </c>
      <c r="B3" s="5" t="s">
        <v>142</v>
      </c>
      <c r="C3" s="5" t="s">
        <v>143</v>
      </c>
      <c r="D3" s="5" t="s">
        <v>144</v>
      </c>
      <c r="E3" s="5" t="s">
        <v>145</v>
      </c>
      <c r="F3" s="5" t="s">
        <v>146</v>
      </c>
      <c r="G3" s="5" t="s">
        <v>141</v>
      </c>
    </row>
    <row r="4" customFormat="false" ht="35.05" hidden="false" customHeight="false" outlineLevel="0" collapsed="false">
      <c r="A4" s="5" t="s">
        <v>48</v>
      </c>
      <c r="B4" s="5" t="s">
        <v>147</v>
      </c>
      <c r="C4" s="5" t="s">
        <v>148</v>
      </c>
      <c r="D4" s="5" t="s">
        <v>149</v>
      </c>
      <c r="E4" s="5" t="s">
        <v>150</v>
      </c>
      <c r="F4" s="5" t="s">
        <v>151</v>
      </c>
      <c r="G4" s="5" t="s">
        <v>152</v>
      </c>
    </row>
    <row r="5" customFormat="false" ht="35.05" hidden="false" customHeight="false" outlineLevel="0" collapsed="false">
      <c r="A5" s="5" t="s">
        <v>55</v>
      </c>
      <c r="B5" s="5" t="s">
        <v>153</v>
      </c>
      <c r="C5" s="5" t="s">
        <v>154</v>
      </c>
      <c r="D5" s="5" t="s">
        <v>155</v>
      </c>
      <c r="E5" s="5" t="s">
        <v>150</v>
      </c>
      <c r="F5" s="5" t="s">
        <v>156</v>
      </c>
      <c r="G5" s="5" t="s">
        <v>141</v>
      </c>
    </row>
    <row r="6" customFormat="false" ht="23.85" hidden="false" customHeight="false" outlineLevel="0" collapsed="false">
      <c r="A6" s="5" t="s">
        <v>61</v>
      </c>
      <c r="B6" s="5" t="s">
        <v>125</v>
      </c>
      <c r="C6" s="5" t="s">
        <v>157</v>
      </c>
      <c r="D6" s="5" t="s">
        <v>144</v>
      </c>
      <c r="E6" s="5" t="s">
        <v>158</v>
      </c>
      <c r="F6" s="5" t="s">
        <v>159</v>
      </c>
      <c r="G6" s="5" t="s">
        <v>114</v>
      </c>
    </row>
    <row r="7" customFormat="false" ht="23.85" hidden="false" customHeight="false" outlineLevel="0" collapsed="false">
      <c r="A7" s="5" t="s">
        <v>68</v>
      </c>
      <c r="B7" s="5" t="s">
        <v>160</v>
      </c>
      <c r="C7" s="5" t="s">
        <v>161</v>
      </c>
      <c r="D7" s="5" t="s">
        <v>138</v>
      </c>
      <c r="E7" s="5" t="s">
        <v>139</v>
      </c>
      <c r="F7" s="5" t="s">
        <v>162</v>
      </c>
      <c r="G7" s="5"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4"/>
  </cols>
  <sheetData>
    <row r="2" customFormat="false" ht="19.7" hidden="false" customHeight="false" outlineLevel="0" collapsed="false">
      <c r="B2" s="1" t="s">
        <v>163</v>
      </c>
    </row>
    <row r="4" customFormat="false" ht="15" hidden="false" customHeight="false" outlineLevel="0" collapsed="false">
      <c r="B4" s="17" t="s">
        <v>164</v>
      </c>
      <c r="C4" s="17" t="s">
        <v>165</v>
      </c>
    </row>
    <row r="5" customFormat="false" ht="15" hidden="false" customHeight="false" outlineLevel="0" collapsed="false">
      <c r="B5" s="18" t="s">
        <v>139</v>
      </c>
      <c r="C5" s="19" t="n">
        <f aca="false">COUNTIF('Vendor Risk Register'!N:N,"Critical")</f>
        <v>3</v>
      </c>
    </row>
    <row r="6" customFormat="false" ht="15" hidden="false" customHeight="false" outlineLevel="0" collapsed="false">
      <c r="B6" s="18" t="s">
        <v>150</v>
      </c>
      <c r="C6" s="19" t="n">
        <f aca="false">COUNTIF('Vendor Risk Register'!N:N,"High")</f>
        <v>1</v>
      </c>
    </row>
    <row r="7" customFormat="false" ht="15" hidden="false" customHeight="false" outlineLevel="0" collapsed="false">
      <c r="B7" s="18" t="s">
        <v>145</v>
      </c>
      <c r="C7" s="19" t="n">
        <f aca="false">COUNTIF('Vendor Risk Register'!N:N,"Medium")</f>
        <v>1</v>
      </c>
    </row>
    <row r="8" customFormat="false" ht="15" hidden="false" customHeight="false" outlineLevel="0" collapsed="false">
      <c r="B8" s="18" t="s">
        <v>158</v>
      </c>
      <c r="C8" s="19" t="n">
        <f aca="false">COUNTIF('Vendor Risk Register'!N:N,"Low")</f>
        <v>1</v>
      </c>
    </row>
    <row r="10" customFormat="false" ht="15" hidden="false" customHeight="false" outlineLevel="0" collapsed="false">
      <c r="B10" s="2" t="s">
        <v>166</v>
      </c>
    </row>
    <row r="11" customFormat="false" ht="90" hidden="false" customHeight="true" outlineLevel="0" collapsed="false">
      <c r="B11" s="3" t="s">
        <v>167</v>
      </c>
      <c r="C11" s="3"/>
      <c r="D11" s="3"/>
      <c r="E11" s="3"/>
      <c r="F11" s="3"/>
      <c r="G11" s="3"/>
      <c r="H11" s="3"/>
    </row>
    <row r="13" customFormat="false" ht="15" hidden="false" customHeight="false" outlineLevel="0" collapsed="false">
      <c r="B13" s="2" t="s">
        <v>168</v>
      </c>
    </row>
    <row r="14" customFormat="false" ht="75" hidden="false" customHeight="true" outlineLevel="0" collapsed="false">
      <c r="B14" s="3" t="s">
        <v>169</v>
      </c>
      <c r="C14" s="3"/>
      <c r="D14" s="3"/>
      <c r="E14" s="3"/>
      <c r="F14" s="3"/>
      <c r="G14" s="3"/>
      <c r="H14" s="3"/>
    </row>
  </sheetData>
  <mergeCells count="2">
    <mergeCell ref="B11:H11"/>
    <mergeCell ref="B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2026-08-01T21:35:20Z</dcterms:created>
  <dc:creator>openpyxl</dc:creator>
  <dc:description/>
  <dc:language>en-US</dc:language>
  <cp:lastModifiedBy/>
  <dcterms:modified xsi:type="dcterms:W3CDTF">2026-08-01T21:35:20Z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